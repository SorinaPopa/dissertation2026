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Averages Table" sheetId="2" r:id="rId6"/>
    <sheet state="visible" name="SUS Score" sheetId="3" r:id="rId7"/>
  </sheets>
  <definedNames/>
  <calcPr/>
</workbook>
</file>

<file path=xl/sharedStrings.xml><?xml version="1.0" encoding="utf-8"?>
<sst xmlns="http://schemas.openxmlformats.org/spreadsheetml/2006/main" count="207" uniqueCount="116">
  <si>
    <t>Timestamp</t>
  </si>
  <si>
    <t xml:space="preserve">A1. The journaling activity in the room I am in helped me understand my own emotions better. </t>
  </si>
  <si>
    <t xml:space="preserve">A2. The lighting conditions of the room I was in reflected my emotional state while I was writing. </t>
  </si>
  <si>
    <t xml:space="preserve">A3. The environment of the room I was in helped me process my thoughts or emotions. </t>
  </si>
  <si>
    <t xml:space="preserve">A4. The atmosphere of the room I was in supported the topic I was journaling about. </t>
  </si>
  <si>
    <t>A5. The environment of the room I am in helped create a space where I felt comfortable reflecting on difficult emotions.</t>
  </si>
  <si>
    <t>A6. The environment of the room I am in contributed positively and actively to my emotional experience during the task.</t>
  </si>
  <si>
    <t>A7. The environment of the room I am in felt responsive to me while I was writing.</t>
  </si>
  <si>
    <t>A8. The lighting in the room I am in appeared to react in a meaningful way to my feelings.</t>
  </si>
  <si>
    <t>A9. The lighting setup in the room I am in was sufficient for basic task performance, regardless of how it made me feel.</t>
  </si>
  <si>
    <t>A10. The lighting conditions in the room I am in influenced how I experienced the journaling task overall.</t>
  </si>
  <si>
    <t xml:space="preserve">B1. The journaling activity in the room I am in helped me understand my own emotions better. </t>
  </si>
  <si>
    <t xml:space="preserve">B2. The lighting conditions of the room I was in reflected my emotional state while I was writing. </t>
  </si>
  <si>
    <t xml:space="preserve">B3. The environment of the room I was in helped me process my thoughts or emotions. </t>
  </si>
  <si>
    <t xml:space="preserve">B4.  The atmosphere of the room I was in supported the topic I was journaling about. </t>
  </si>
  <si>
    <t>B5. The environment of the room I am in helped create a space where I felt comfortable reflecting on difficult emotions.</t>
  </si>
  <si>
    <t>B6. The environment of the room I am in contributed positively and actively to my emotional experience during the task.</t>
  </si>
  <si>
    <t>B7. The environment of the room I am in felt responsive to me while I was writing.</t>
  </si>
  <si>
    <t>B8. The lighting in the room I am in appeared to react in a meaningful way to my feelings.</t>
  </si>
  <si>
    <t>B9. The lighting setup in the room I am in was sufficient for basic task performance, regardless of how it made me feel.</t>
  </si>
  <si>
    <t>B10. The lighting conditions in the room I am in influenced how I experienced the journaling task overall.</t>
  </si>
  <si>
    <t>1. I think that I would like to use MoodUp frequently.</t>
  </si>
  <si>
    <t>2. I found MoodUp unnecessarily complex.</t>
  </si>
  <si>
    <t>3. I thought MoodUp was easy to use.</t>
  </si>
  <si>
    <t>4. I think that I would need the support of a technical person to be able to use MoodUp.</t>
  </si>
  <si>
    <t>5. I found the various functions in MoodUp were well integrated.</t>
  </si>
  <si>
    <t>6. I thought there was too much inconsistency in MoodUp.</t>
  </si>
  <si>
    <t>7. I would imagine that most people would learn to use MoodUp very quickly.</t>
  </si>
  <si>
    <t>8. I found MoodUp very awkward to use.</t>
  </si>
  <si>
    <t>9. I felt very confident using MoodUp.</t>
  </si>
  <si>
    <t>10. I need to learn a lot of things before I could get going with MoodUp.</t>
  </si>
  <si>
    <t>1. Age range</t>
  </si>
  <si>
    <t>2. Gender</t>
  </si>
  <si>
    <t>3. Have you previously used smart lighting systems?</t>
  </si>
  <si>
    <t>4. Would you be interested in using a smart system that explicitly focuses on improving your emotional wellbeing?</t>
  </si>
  <si>
    <t>5. If you used this system long-term, which component would provide the most value to you?</t>
  </si>
  <si>
    <t>6. Did you like being in the room where it happened?</t>
  </si>
  <si>
    <t>6. Additional comments and observations, any feedback is good feedback:</t>
  </si>
  <si>
    <t>21-25</t>
  </si>
  <si>
    <t>Female</t>
  </si>
  <si>
    <t>Yes</t>
  </si>
  <si>
    <t>Both</t>
  </si>
  <si>
    <t>good work!</t>
  </si>
  <si>
    <t>Under 20</t>
  </si>
  <si>
    <t>Male</t>
  </si>
  <si>
    <t>No</t>
  </si>
  <si>
    <t>Maybe</t>
  </si>
  <si>
    <t>The device that changes colours dynamically</t>
  </si>
  <si>
    <t>click boom, then it happened</t>
  </si>
  <si>
    <t>very cool, 10/10</t>
  </si>
  <si>
    <t>51-60</t>
  </si>
  <si>
    <t>congratulations for the project</t>
  </si>
  <si>
    <t>the best smart light i've ever seen</t>
  </si>
  <si>
    <t>26-30</t>
  </si>
  <si>
    <t>This is a genuinely creative and thoughtful project, combining journaling with real-time sentiment analysis and ambient lighting is a really elegant idea. The concept of translating emotional tone into something physical and environmental feels both innovative and deeply human. It’s the kind of project that could actually make a meaningful difference in someone’s daily routine. Great execution on a unique idea!</t>
  </si>
  <si>
    <t>Great experience!</t>
  </si>
  <si>
    <t>Such a nice app very intuitive and easy to use. Makes my emotions stable when i feel bad and helps me understand my emotions. The light influences well how i feel in that moment.</t>
  </si>
  <si>
    <t>31-40</t>
  </si>
  <si>
    <t>The mobile app and mood analysis</t>
  </si>
  <si>
    <t>Question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</si>
  <si>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</si>
  <si>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</si>
  <si>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</si>
  <si>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</si>
  <si>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</si>
  <si>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</si>
  <si>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</si>
  <si>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</si>
  <si>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</si>
  <si>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</si>
  <si>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Average 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</si>
  <si>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</si>
  <si>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</si>
  <si>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</si>
  <si>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</si>
  <si>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</si>
  <si>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</si>
  <si>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</si>
  <si>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</si>
  <si>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</si>
  <si>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</si>
  <si>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Scenario A</t>
  </si>
  <si>
    <t>Scenario B</t>
  </si>
  <si>
    <t>Difference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</si>
  <si>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</si>
  <si>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</si>
  <si>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</si>
  <si>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</si>
  <si>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</si>
  <si>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</si>
  <si>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</si>
  <si>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</si>
  <si>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</si>
  <si>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</si>
  <si>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</si>
  <si>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</si>
  <si>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</si>
  <si>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</si>
  <si>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</si>
  <si>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</si>
  <si>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</si>
  <si>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</si>
  <si>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</si>
  <si>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</si>
  <si>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</si>
  <si>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</si>
  <si>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</si>
  <si>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</si>
  <si>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</si>
  <si>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</si>
  <si>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</si>
  <si>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Metric</t>
  </si>
  <si>
    <t>Value</t>
  </si>
  <si>
    <t>Average SUS Score</t>
  </si>
  <si>
    <t>Minimum SUS Score</t>
  </si>
  <si>
    <t>Maximum SUS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</si>
</sst>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US Score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18" displayName="Form_Responses" name="Form_Responses" id="1">
  <tableColumns count="38">
    <tableColumn name="Timestamp" id="1"/>
    <tableColumn name="A1. The journaling activity in the room I am in helped me understand my own emotions better. " id="2"/>
    <tableColumn name="A2. The lighting conditions of the room I was in reflected my emotional state while I was writing. " id="3"/>
    <tableColumn name="A3. The environment of the room I was in helped me process my thoughts or emotions. " id="4"/>
    <tableColumn name="A4. The atmosphere of the room I was in supported the topic I was journaling about. " id="5"/>
    <tableColumn name="A5. The environment of the room I am in helped create a space where I felt comfortable reflecting on difficult emotions." id="6"/>
    <tableColumn name="A6. The environment of the room I am in contributed positively and actively to my emotional experience during the task." id="7"/>
    <tableColumn name="A7. The environment of the room I am in felt responsive to me while I was writing." id="8"/>
    <tableColumn name="A8. The lighting in the room I am in appeared to react in a meaningful way to my feelings." id="9"/>
    <tableColumn name="A9. The lighting setup in the room I am in was sufficient for basic task performance, regardless of how it made me feel." id="10"/>
    <tableColumn name="A10. The lighting conditions in the room I am in influenced how I experienced the journaling task overall." id="11"/>
    <tableColumn name="B1. The journaling activity in the room I am in helped me understand my own emotions better. " id="12"/>
    <tableColumn name="B2. The lighting conditions of the room I was in reflected my emotional state while I was writing. " id="13"/>
    <tableColumn name="B3. The environment of the room I was in helped me process my thoughts or emotions. " id="14"/>
    <tableColumn name="B4.  The atmosphere of the room I was in supported the topic I was journaling about. " id="15"/>
    <tableColumn name="B5. The environment of the room I am in helped create a space where I felt comfortable reflecting on difficult emotions." id="16"/>
    <tableColumn name="B6. The environment of the room I am in contributed positively and actively to my emotional experience during the task." id="17"/>
    <tableColumn name="B7. The environment of the room I am in felt responsive to me while I was writing." id="18"/>
    <tableColumn name="B8. The lighting in the room I am in appeared to react in a meaningful way to my feelings." id="19"/>
    <tableColumn name="B9. The lighting setup in the room I am in was sufficient for basic task performance, regardless of how it made me feel." id="20"/>
    <tableColumn name="B10. The lighting conditions in the room I am in influenced how I experienced the journaling task overall." id="21"/>
    <tableColumn name="1. I think that I would like to use MoodUp frequently." id="22"/>
    <tableColumn name="2. I found MoodUp unnecessarily complex." id="23"/>
    <tableColumn name="3. I thought MoodUp was easy to use." id="24"/>
    <tableColumn name="4. I think that I would need the support of a technical person to be able to use MoodUp." id="25"/>
    <tableColumn name="5. I found the various functions in MoodUp were well integrated." id="26"/>
    <tableColumn name="6. I thought there was too much inconsistency in MoodUp." id="27"/>
    <tableColumn name="7. I would imagine that most people would learn to use MoodUp very quickly." id="28"/>
    <tableColumn name="8. I found MoodUp very awkward to use." id="29"/>
    <tableColumn name="9. I felt very confident using MoodUp." id="30"/>
    <tableColumn name="10. I need to learn a lot of things before I could get going with MoodUp." id="31"/>
    <tableColumn name="1. Age range" id="32"/>
    <tableColumn name="2. Gender" id="33"/>
    <tableColumn name="3. Have you previously used smart lighting systems?" id="34"/>
    <tableColumn name="4. Would you be interested in using a smart system that explicitly focuses on improving your emotional wellbeing?" id="35"/>
    <tableColumn name="5. If you used this system long-term, which component would provide the most value to you?" id="36"/>
    <tableColumn name="6. Did you like being in the room where it happened?" id="37"/>
    <tableColumn name="6. Additional comments and observations, any feedback is good feedback:" id="3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L19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S Sco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1" width="7.63"/>
    <col customWidth="1" min="32" max="33" width="18.88"/>
    <col customWidth="1" min="34" max="37" width="37.63"/>
    <col customWidth="1" min="38" max="38" width="70.5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</row>
    <row r="2" ht="22.5" customHeight="1">
      <c r="A2" s="3">
        <v>46184.706963703706</v>
      </c>
      <c r="B2" s="4">
        <v>5.0</v>
      </c>
      <c r="C2" s="4">
        <v>2.0</v>
      </c>
      <c r="D2" s="4">
        <v>1.0</v>
      </c>
      <c r="E2" s="4">
        <v>3.0</v>
      </c>
      <c r="F2" s="4">
        <v>2.0</v>
      </c>
      <c r="G2" s="4">
        <v>2.0</v>
      </c>
      <c r="H2" s="4">
        <v>1.0</v>
      </c>
      <c r="I2" s="4">
        <v>1.0</v>
      </c>
      <c r="J2" s="4">
        <v>4.0</v>
      </c>
      <c r="K2" s="4">
        <v>3.0</v>
      </c>
      <c r="L2" s="4">
        <v>5.0</v>
      </c>
      <c r="M2" s="4">
        <v>4.0</v>
      </c>
      <c r="N2" s="4">
        <v>5.0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>
        <v>4.0</v>
      </c>
      <c r="V2" s="4">
        <v>5.0</v>
      </c>
      <c r="W2" s="4">
        <v>2.0</v>
      </c>
      <c r="X2" s="4">
        <v>5.0</v>
      </c>
      <c r="Y2" s="4">
        <v>1.0</v>
      </c>
      <c r="Z2" s="4">
        <v>4.0</v>
      </c>
      <c r="AA2" s="4">
        <v>1.0</v>
      </c>
      <c r="AB2" s="4">
        <v>5.0</v>
      </c>
      <c r="AC2" s="4">
        <v>1.0</v>
      </c>
      <c r="AD2" s="4">
        <v>5.0</v>
      </c>
      <c r="AE2" s="4">
        <v>1.0</v>
      </c>
      <c r="AF2" s="4" t="s">
        <v>38</v>
      </c>
      <c r="AG2" s="4" t="s">
        <v>39</v>
      </c>
      <c r="AH2" s="4" t="s">
        <v>40</v>
      </c>
      <c r="AI2" s="4" t="s">
        <v>40</v>
      </c>
      <c r="AJ2" s="4" t="s">
        <v>41</v>
      </c>
      <c r="AK2" s="4" t="s">
        <v>40</v>
      </c>
      <c r="AL2" s="5" t="s">
        <v>42</v>
      </c>
    </row>
    <row r="3" ht="22.5" customHeight="1">
      <c r="A3" s="3">
        <v>46184.710257060186</v>
      </c>
      <c r="B3" s="4">
        <v>3.0</v>
      </c>
      <c r="C3" s="4">
        <v>2.0</v>
      </c>
      <c r="D3" s="4">
        <v>1.0</v>
      </c>
      <c r="E3" s="4">
        <v>1.0</v>
      </c>
      <c r="F3" s="4">
        <v>3.0</v>
      </c>
      <c r="G3" s="4">
        <v>1.0</v>
      </c>
      <c r="H3" s="4">
        <v>1.0</v>
      </c>
      <c r="I3" s="4">
        <v>2.0</v>
      </c>
      <c r="J3" s="4">
        <v>4.0</v>
      </c>
      <c r="K3" s="4">
        <v>2.0</v>
      </c>
      <c r="L3" s="4">
        <v>4.0</v>
      </c>
      <c r="M3" s="4">
        <v>4.0</v>
      </c>
      <c r="N3" s="4">
        <v>5.0</v>
      </c>
      <c r="O3" s="4">
        <v>3.0</v>
      </c>
      <c r="P3" s="4">
        <v>4.0</v>
      </c>
      <c r="Q3" s="4">
        <v>5.0</v>
      </c>
      <c r="R3" s="4">
        <v>4.0</v>
      </c>
      <c r="S3" s="4">
        <v>4.0</v>
      </c>
      <c r="T3" s="4">
        <v>5.0</v>
      </c>
      <c r="U3" s="4">
        <v>4.0</v>
      </c>
      <c r="V3" s="4">
        <v>4.0</v>
      </c>
      <c r="W3" s="4">
        <v>2.0</v>
      </c>
      <c r="X3" s="4">
        <v>5.0</v>
      </c>
      <c r="Y3" s="4">
        <v>1.0</v>
      </c>
      <c r="Z3" s="4">
        <v>4.0</v>
      </c>
      <c r="AA3" s="4">
        <v>1.0</v>
      </c>
      <c r="AB3" s="4">
        <v>5.0</v>
      </c>
      <c r="AC3" s="4">
        <v>2.0</v>
      </c>
      <c r="AD3" s="4">
        <v>5.0</v>
      </c>
      <c r="AE3" s="4">
        <v>1.0</v>
      </c>
      <c r="AF3" s="4" t="s">
        <v>43</v>
      </c>
      <c r="AG3" s="4" t="s">
        <v>44</v>
      </c>
      <c r="AH3" s="4" t="s">
        <v>45</v>
      </c>
      <c r="AI3" s="4" t="s">
        <v>46</v>
      </c>
      <c r="AJ3" s="4" t="s">
        <v>47</v>
      </c>
      <c r="AK3" s="4" t="s">
        <v>48</v>
      </c>
      <c r="AL3" s="5" t="s">
        <v>49</v>
      </c>
    </row>
    <row r="4" ht="22.5" customHeight="1">
      <c r="A4" s="3">
        <v>46184.7160384375</v>
      </c>
      <c r="B4" s="4">
        <v>3.0</v>
      </c>
      <c r="C4" s="4">
        <v>1.0</v>
      </c>
      <c r="D4" s="4">
        <v>1.0</v>
      </c>
      <c r="E4" s="4">
        <v>2.0</v>
      </c>
      <c r="F4" s="4">
        <v>3.0</v>
      </c>
      <c r="G4" s="4">
        <v>2.0</v>
      </c>
      <c r="H4" s="4">
        <v>1.0</v>
      </c>
      <c r="I4" s="4">
        <v>1.0</v>
      </c>
      <c r="J4" s="4">
        <v>5.0</v>
      </c>
      <c r="K4" s="4">
        <v>3.0</v>
      </c>
      <c r="L4" s="4">
        <v>4.0</v>
      </c>
      <c r="M4" s="4">
        <v>4.0</v>
      </c>
      <c r="N4" s="4">
        <v>4.0</v>
      </c>
      <c r="O4" s="4">
        <v>5.0</v>
      </c>
      <c r="P4" s="4">
        <v>4.0</v>
      </c>
      <c r="Q4" s="4">
        <v>5.0</v>
      </c>
      <c r="R4" s="4">
        <v>5.0</v>
      </c>
      <c r="S4" s="4">
        <v>5.0</v>
      </c>
      <c r="T4" s="4">
        <v>5.0</v>
      </c>
      <c r="U4" s="4">
        <v>5.0</v>
      </c>
      <c r="V4" s="4">
        <v>4.0</v>
      </c>
      <c r="W4" s="4">
        <v>1.0</v>
      </c>
      <c r="X4" s="4">
        <v>5.0</v>
      </c>
      <c r="Y4" s="4">
        <v>1.0</v>
      </c>
      <c r="Z4" s="4">
        <v>5.0</v>
      </c>
      <c r="AA4" s="4">
        <v>1.0</v>
      </c>
      <c r="AB4" s="4">
        <v>4.0</v>
      </c>
      <c r="AC4" s="4">
        <v>1.0</v>
      </c>
      <c r="AD4" s="4">
        <v>5.0</v>
      </c>
      <c r="AE4" s="4">
        <v>1.0</v>
      </c>
      <c r="AF4" s="4" t="s">
        <v>50</v>
      </c>
      <c r="AG4" s="4" t="s">
        <v>44</v>
      </c>
      <c r="AH4" s="4" t="s">
        <v>40</v>
      </c>
      <c r="AI4" s="4" t="s">
        <v>46</v>
      </c>
      <c r="AJ4" s="4" t="s">
        <v>41</v>
      </c>
      <c r="AK4" s="4" t="s">
        <v>40</v>
      </c>
      <c r="AL4" s="5" t="s">
        <v>51</v>
      </c>
    </row>
    <row r="5" ht="22.5" customHeight="1">
      <c r="A5" s="3">
        <v>46184.71937935185</v>
      </c>
      <c r="B5" s="4">
        <v>5.0</v>
      </c>
      <c r="C5" s="4">
        <v>2.0</v>
      </c>
      <c r="D5" s="4">
        <v>1.0</v>
      </c>
      <c r="E5" s="4">
        <v>1.0</v>
      </c>
      <c r="F5" s="4">
        <v>3.0</v>
      </c>
      <c r="G5" s="4">
        <v>2.0</v>
      </c>
      <c r="H5" s="4">
        <v>1.0</v>
      </c>
      <c r="I5" s="4">
        <v>1.0</v>
      </c>
      <c r="J5" s="4">
        <v>4.0</v>
      </c>
      <c r="K5" s="4">
        <v>3.0</v>
      </c>
      <c r="L5" s="4">
        <v>5.0</v>
      </c>
      <c r="M5" s="4">
        <v>5.0</v>
      </c>
      <c r="N5" s="4">
        <v>4.0</v>
      </c>
      <c r="O5" s="4">
        <v>5.0</v>
      </c>
      <c r="P5" s="4">
        <v>5.0</v>
      </c>
      <c r="Q5" s="4">
        <v>5.0</v>
      </c>
      <c r="R5" s="4">
        <v>5.0</v>
      </c>
      <c r="S5" s="4">
        <v>5.0</v>
      </c>
      <c r="T5" s="4">
        <v>4.0</v>
      </c>
      <c r="U5" s="4">
        <v>5.0</v>
      </c>
      <c r="V5" s="4">
        <v>5.0</v>
      </c>
      <c r="W5" s="4">
        <v>1.0</v>
      </c>
      <c r="X5" s="4">
        <v>5.0</v>
      </c>
      <c r="Y5" s="4">
        <v>2.0</v>
      </c>
      <c r="Z5" s="4">
        <v>5.0</v>
      </c>
      <c r="AA5" s="4">
        <v>1.0</v>
      </c>
      <c r="AB5" s="4">
        <v>4.0</v>
      </c>
      <c r="AC5" s="4">
        <v>1.0</v>
      </c>
      <c r="AD5" s="4">
        <v>5.0</v>
      </c>
      <c r="AE5" s="4">
        <v>2.0</v>
      </c>
      <c r="AF5" s="4" t="s">
        <v>50</v>
      </c>
      <c r="AG5" s="4" t="s">
        <v>39</v>
      </c>
      <c r="AH5" s="4" t="s">
        <v>45</v>
      </c>
      <c r="AI5" s="4" t="s">
        <v>40</v>
      </c>
      <c r="AJ5" s="4" t="s">
        <v>41</v>
      </c>
      <c r="AK5" s="4" t="s">
        <v>40</v>
      </c>
      <c r="AL5" s="5" t="s">
        <v>52</v>
      </c>
    </row>
    <row r="6" ht="22.5" customHeight="1">
      <c r="A6" s="6">
        <v>46184.73962108797</v>
      </c>
      <c r="B6" s="7">
        <v>5.0</v>
      </c>
      <c r="C6" s="7">
        <v>5.0</v>
      </c>
      <c r="D6" s="7">
        <v>5.0</v>
      </c>
      <c r="E6" s="7">
        <v>5.0</v>
      </c>
      <c r="F6" s="7">
        <v>5.0</v>
      </c>
      <c r="G6" s="7">
        <v>5.0</v>
      </c>
      <c r="H6" s="7">
        <v>5.0</v>
      </c>
      <c r="I6" s="7">
        <v>5.0</v>
      </c>
      <c r="J6" s="7">
        <v>5.0</v>
      </c>
      <c r="K6" s="7">
        <v>5.0</v>
      </c>
      <c r="L6" s="7">
        <v>5.0</v>
      </c>
      <c r="M6" s="7">
        <v>5.0</v>
      </c>
      <c r="N6" s="7">
        <v>5.0</v>
      </c>
      <c r="O6" s="7">
        <v>5.0</v>
      </c>
      <c r="P6" s="7">
        <v>5.0</v>
      </c>
      <c r="Q6" s="7">
        <v>5.0</v>
      </c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1.0</v>
      </c>
      <c r="X6" s="7">
        <v>5.0</v>
      </c>
      <c r="Y6" s="7">
        <v>1.0</v>
      </c>
      <c r="Z6" s="7">
        <v>5.0</v>
      </c>
      <c r="AA6" s="7">
        <v>1.0</v>
      </c>
      <c r="AB6" s="7">
        <v>5.0</v>
      </c>
      <c r="AC6" s="7">
        <v>1.0</v>
      </c>
      <c r="AD6" s="7">
        <v>5.0</v>
      </c>
      <c r="AE6" s="7">
        <v>1.0</v>
      </c>
      <c r="AF6" s="7" t="s">
        <v>38</v>
      </c>
      <c r="AG6" s="7" t="s">
        <v>44</v>
      </c>
      <c r="AH6" s="7" t="s">
        <v>40</v>
      </c>
      <c r="AI6" s="7" t="s">
        <v>40</v>
      </c>
      <c r="AJ6" s="7" t="s">
        <v>41</v>
      </c>
      <c r="AK6" s="7" t="s">
        <v>40</v>
      </c>
      <c r="AL6" s="8"/>
    </row>
    <row r="7" ht="22.5" customHeight="1">
      <c r="A7" s="6">
        <v>46184.74678609954</v>
      </c>
      <c r="B7" s="7">
        <v>2.0</v>
      </c>
      <c r="C7" s="7">
        <v>1.0</v>
      </c>
      <c r="D7" s="7">
        <v>2.0</v>
      </c>
      <c r="E7" s="7">
        <v>1.0</v>
      </c>
      <c r="F7" s="7">
        <v>2.0</v>
      </c>
      <c r="G7" s="7">
        <v>1.0</v>
      </c>
      <c r="H7" s="7">
        <v>1.0</v>
      </c>
      <c r="I7" s="7">
        <v>1.0</v>
      </c>
      <c r="J7" s="7">
        <v>2.0</v>
      </c>
      <c r="K7" s="7">
        <v>2.0</v>
      </c>
      <c r="L7" s="7">
        <v>5.0</v>
      </c>
      <c r="M7" s="7">
        <v>5.0</v>
      </c>
      <c r="N7" s="7">
        <v>4.0</v>
      </c>
      <c r="O7" s="7">
        <v>5.0</v>
      </c>
      <c r="P7" s="7">
        <v>5.0</v>
      </c>
      <c r="Q7" s="7">
        <v>4.0</v>
      </c>
      <c r="R7" s="7">
        <v>5.0</v>
      </c>
      <c r="S7" s="7">
        <v>5.0</v>
      </c>
      <c r="T7" s="7">
        <v>5.0</v>
      </c>
      <c r="U7" s="7">
        <v>4.0</v>
      </c>
      <c r="V7" s="7">
        <v>5.0</v>
      </c>
      <c r="W7" s="7">
        <v>1.0</v>
      </c>
      <c r="X7" s="7">
        <v>5.0</v>
      </c>
      <c r="Y7" s="7">
        <v>1.0</v>
      </c>
      <c r="Z7" s="7">
        <v>5.0</v>
      </c>
      <c r="AA7" s="7">
        <v>1.0</v>
      </c>
      <c r="AB7" s="7">
        <v>5.0</v>
      </c>
      <c r="AC7" s="7">
        <v>1.0</v>
      </c>
      <c r="AD7" s="7">
        <v>5.0</v>
      </c>
      <c r="AE7" s="7">
        <v>1.0</v>
      </c>
      <c r="AF7" s="7" t="s">
        <v>38</v>
      </c>
      <c r="AG7" s="7" t="s">
        <v>44</v>
      </c>
      <c r="AH7" s="7" t="s">
        <v>40</v>
      </c>
      <c r="AI7" s="7" t="s">
        <v>40</v>
      </c>
      <c r="AJ7" s="7" t="s">
        <v>41</v>
      </c>
      <c r="AK7" s="7" t="s">
        <v>40</v>
      </c>
      <c r="AL7" s="8"/>
    </row>
    <row r="8" ht="22.5" customHeight="1">
      <c r="A8" s="6">
        <v>46184.7531141088</v>
      </c>
      <c r="B8" s="7">
        <v>2.0</v>
      </c>
      <c r="C8" s="7">
        <v>1.0</v>
      </c>
      <c r="D8" s="7">
        <v>2.0</v>
      </c>
      <c r="E8" s="7">
        <v>1.0</v>
      </c>
      <c r="F8" s="7">
        <v>2.0</v>
      </c>
      <c r="G8" s="7">
        <v>2.0</v>
      </c>
      <c r="H8" s="7">
        <v>2.0</v>
      </c>
      <c r="I8" s="7">
        <v>1.0</v>
      </c>
      <c r="J8" s="7">
        <v>3.0</v>
      </c>
      <c r="K8" s="7">
        <v>2.0</v>
      </c>
      <c r="L8" s="7">
        <v>4.0</v>
      </c>
      <c r="M8" s="7">
        <v>4.0</v>
      </c>
      <c r="N8" s="7">
        <v>4.0</v>
      </c>
      <c r="O8" s="7">
        <v>4.0</v>
      </c>
      <c r="P8" s="7">
        <v>5.0</v>
      </c>
      <c r="Q8" s="7">
        <v>4.0</v>
      </c>
      <c r="R8" s="7">
        <v>5.0</v>
      </c>
      <c r="S8" s="7">
        <v>5.0</v>
      </c>
      <c r="T8" s="7">
        <v>4.0</v>
      </c>
      <c r="U8" s="7">
        <v>4.0</v>
      </c>
      <c r="V8" s="7">
        <v>4.0</v>
      </c>
      <c r="W8" s="7">
        <v>1.0</v>
      </c>
      <c r="X8" s="7">
        <v>5.0</v>
      </c>
      <c r="Y8" s="7">
        <v>1.0</v>
      </c>
      <c r="Z8" s="7">
        <v>4.0</v>
      </c>
      <c r="AA8" s="7">
        <v>1.0</v>
      </c>
      <c r="AB8" s="7">
        <v>4.0</v>
      </c>
      <c r="AC8" s="7">
        <v>1.0</v>
      </c>
      <c r="AD8" s="7">
        <v>4.0</v>
      </c>
      <c r="AE8" s="7">
        <v>2.0</v>
      </c>
      <c r="AF8" s="7" t="s">
        <v>38</v>
      </c>
      <c r="AG8" s="7" t="s">
        <v>39</v>
      </c>
      <c r="AH8" s="7" t="s">
        <v>45</v>
      </c>
      <c r="AI8" s="7" t="s">
        <v>40</v>
      </c>
      <c r="AJ8" s="7" t="s">
        <v>41</v>
      </c>
      <c r="AK8" s="7" t="s">
        <v>40</v>
      </c>
      <c r="AL8" s="8"/>
    </row>
    <row r="9" ht="22.5" customHeight="1">
      <c r="A9" s="6">
        <v>46184.75407795139</v>
      </c>
      <c r="B9" s="7">
        <v>2.0</v>
      </c>
      <c r="C9" s="7">
        <v>1.0</v>
      </c>
      <c r="D9" s="7">
        <v>2.0</v>
      </c>
      <c r="E9" s="7">
        <v>1.0</v>
      </c>
      <c r="F9" s="7">
        <v>2.0</v>
      </c>
      <c r="G9" s="7">
        <v>2.0</v>
      </c>
      <c r="H9" s="7">
        <v>1.0</v>
      </c>
      <c r="I9" s="7">
        <v>1.0</v>
      </c>
      <c r="J9" s="7">
        <v>1.0</v>
      </c>
      <c r="K9" s="7">
        <v>1.0</v>
      </c>
      <c r="L9" s="7">
        <v>4.0</v>
      </c>
      <c r="M9" s="7">
        <v>5.0</v>
      </c>
      <c r="N9" s="7">
        <v>4.0</v>
      </c>
      <c r="O9" s="7">
        <v>4.0</v>
      </c>
      <c r="P9" s="7">
        <v>5.0</v>
      </c>
      <c r="Q9" s="7">
        <v>4.0</v>
      </c>
      <c r="R9" s="7">
        <v>4.0</v>
      </c>
      <c r="S9" s="7">
        <v>5.0</v>
      </c>
      <c r="T9" s="7">
        <v>4.0</v>
      </c>
      <c r="U9" s="7">
        <v>5.0</v>
      </c>
      <c r="V9" s="7">
        <v>4.0</v>
      </c>
      <c r="W9" s="7">
        <v>1.0</v>
      </c>
      <c r="X9" s="7">
        <v>5.0</v>
      </c>
      <c r="Y9" s="7">
        <v>1.0</v>
      </c>
      <c r="Z9" s="7">
        <v>5.0</v>
      </c>
      <c r="AA9" s="7">
        <v>1.0</v>
      </c>
      <c r="AB9" s="7">
        <v>5.0</v>
      </c>
      <c r="AC9" s="7">
        <v>1.0</v>
      </c>
      <c r="AD9" s="7">
        <v>5.0</v>
      </c>
      <c r="AE9" s="7">
        <v>1.0</v>
      </c>
      <c r="AF9" s="7" t="s">
        <v>38</v>
      </c>
      <c r="AG9" s="7" t="s">
        <v>39</v>
      </c>
      <c r="AH9" s="7" t="s">
        <v>45</v>
      </c>
      <c r="AI9" s="7" t="s">
        <v>40</v>
      </c>
      <c r="AJ9" s="7" t="s">
        <v>41</v>
      </c>
      <c r="AK9" s="7" t="s">
        <v>40</v>
      </c>
      <c r="AL9" s="8"/>
    </row>
    <row r="10" ht="22.5" customHeight="1">
      <c r="A10" s="6">
        <v>46184.82582269676</v>
      </c>
      <c r="B10" s="7">
        <v>4.0</v>
      </c>
      <c r="C10" s="7">
        <v>2.0</v>
      </c>
      <c r="D10" s="7">
        <v>2.0</v>
      </c>
      <c r="E10" s="7">
        <v>1.0</v>
      </c>
      <c r="F10" s="7">
        <v>1.0</v>
      </c>
      <c r="G10" s="7">
        <v>2.0</v>
      </c>
      <c r="H10" s="7">
        <v>1.0</v>
      </c>
      <c r="I10" s="7">
        <v>3.0</v>
      </c>
      <c r="J10" s="7">
        <v>4.0</v>
      </c>
      <c r="K10" s="7">
        <v>4.0</v>
      </c>
      <c r="L10" s="7">
        <v>5.0</v>
      </c>
      <c r="M10" s="7">
        <v>5.0</v>
      </c>
      <c r="N10" s="7">
        <v>5.0</v>
      </c>
      <c r="O10" s="7">
        <v>5.0</v>
      </c>
      <c r="P10" s="7">
        <v>5.0</v>
      </c>
      <c r="Q10" s="7">
        <v>5.0</v>
      </c>
      <c r="R10" s="7">
        <v>5.0</v>
      </c>
      <c r="S10" s="7">
        <v>4.0</v>
      </c>
      <c r="T10" s="7">
        <v>4.0</v>
      </c>
      <c r="U10" s="7">
        <v>5.0</v>
      </c>
      <c r="V10" s="7">
        <v>4.0</v>
      </c>
      <c r="W10" s="7">
        <v>1.0</v>
      </c>
      <c r="X10" s="7">
        <v>5.0</v>
      </c>
      <c r="Y10" s="7">
        <v>1.0</v>
      </c>
      <c r="Z10" s="7">
        <v>5.0</v>
      </c>
      <c r="AA10" s="7">
        <v>1.0</v>
      </c>
      <c r="AB10" s="7">
        <v>4.0</v>
      </c>
      <c r="AC10" s="7">
        <v>1.0</v>
      </c>
      <c r="AD10" s="7">
        <v>5.0</v>
      </c>
      <c r="AE10" s="7">
        <v>1.0</v>
      </c>
      <c r="AF10" s="7" t="s">
        <v>53</v>
      </c>
      <c r="AG10" s="7" t="s">
        <v>39</v>
      </c>
      <c r="AH10" s="7" t="s">
        <v>40</v>
      </c>
      <c r="AI10" s="7" t="s">
        <v>40</v>
      </c>
      <c r="AJ10" s="7" t="s">
        <v>47</v>
      </c>
      <c r="AK10" s="7" t="s">
        <v>40</v>
      </c>
      <c r="AL10" s="8"/>
    </row>
    <row r="11" ht="22.5" customHeight="1">
      <c r="A11" s="6">
        <v>46184.99481390046</v>
      </c>
      <c r="B11" s="7">
        <v>4.0</v>
      </c>
      <c r="C11" s="7">
        <v>3.0</v>
      </c>
      <c r="D11" s="7">
        <v>3.0</v>
      </c>
      <c r="E11" s="7">
        <v>3.0</v>
      </c>
      <c r="F11" s="7">
        <v>3.0</v>
      </c>
      <c r="G11" s="7">
        <v>3.0</v>
      </c>
      <c r="H11" s="7">
        <v>3.0</v>
      </c>
      <c r="I11" s="7">
        <v>2.0</v>
      </c>
      <c r="J11" s="7">
        <v>4.0</v>
      </c>
      <c r="K11" s="7">
        <v>2.0</v>
      </c>
      <c r="L11" s="7">
        <v>4.0</v>
      </c>
      <c r="M11" s="7">
        <v>5.0</v>
      </c>
      <c r="N11" s="7">
        <v>4.0</v>
      </c>
      <c r="O11" s="7">
        <v>4.0</v>
      </c>
      <c r="P11" s="7">
        <v>5.0</v>
      </c>
      <c r="Q11" s="7">
        <v>5.0</v>
      </c>
      <c r="R11" s="7">
        <v>5.0</v>
      </c>
      <c r="S11" s="7">
        <v>5.0</v>
      </c>
      <c r="T11" s="7">
        <v>4.0</v>
      </c>
      <c r="U11" s="7">
        <v>5.0</v>
      </c>
      <c r="V11" s="7">
        <v>5.0</v>
      </c>
      <c r="W11" s="7">
        <v>1.0</v>
      </c>
      <c r="X11" s="7">
        <v>4.0</v>
      </c>
      <c r="Y11" s="7">
        <v>1.0</v>
      </c>
      <c r="Z11" s="7">
        <v>5.0</v>
      </c>
      <c r="AA11" s="7">
        <v>1.0</v>
      </c>
      <c r="AB11" s="7">
        <v>4.0</v>
      </c>
      <c r="AC11" s="7">
        <v>1.0</v>
      </c>
      <c r="AD11" s="7">
        <v>4.0</v>
      </c>
      <c r="AE11" s="7">
        <v>1.0</v>
      </c>
      <c r="AF11" s="7" t="s">
        <v>38</v>
      </c>
      <c r="AG11" s="7" t="s">
        <v>44</v>
      </c>
      <c r="AH11" s="7" t="s">
        <v>45</v>
      </c>
      <c r="AI11" s="7" t="s">
        <v>46</v>
      </c>
      <c r="AJ11" s="7" t="s">
        <v>41</v>
      </c>
      <c r="AK11" s="7" t="s">
        <v>40</v>
      </c>
      <c r="AL11" s="8"/>
    </row>
    <row r="12" ht="22.5" customHeight="1">
      <c r="A12" s="6">
        <v>46185.52236873843</v>
      </c>
      <c r="B12" s="7">
        <v>5.0</v>
      </c>
      <c r="C12" s="7">
        <v>5.0</v>
      </c>
      <c r="D12" s="7">
        <v>5.0</v>
      </c>
      <c r="E12" s="7">
        <v>5.0</v>
      </c>
      <c r="F12" s="7">
        <v>5.0</v>
      </c>
      <c r="G12" s="7">
        <v>5.0</v>
      </c>
      <c r="H12" s="7">
        <v>5.0</v>
      </c>
      <c r="I12" s="7">
        <v>5.0</v>
      </c>
      <c r="J12" s="7">
        <v>4.0</v>
      </c>
      <c r="K12" s="7">
        <v>4.0</v>
      </c>
      <c r="L12" s="7">
        <v>5.0</v>
      </c>
      <c r="M12" s="7">
        <v>5.0</v>
      </c>
      <c r="N12" s="7">
        <v>5.0</v>
      </c>
      <c r="O12" s="7">
        <v>5.0</v>
      </c>
      <c r="P12" s="7">
        <v>5.0</v>
      </c>
      <c r="Q12" s="7">
        <v>4.0</v>
      </c>
      <c r="R12" s="7">
        <v>5.0</v>
      </c>
      <c r="S12" s="7">
        <v>5.0</v>
      </c>
      <c r="T12" s="7">
        <v>4.0</v>
      </c>
      <c r="U12" s="7">
        <v>4.0</v>
      </c>
      <c r="V12" s="7">
        <v>5.0</v>
      </c>
      <c r="W12" s="7">
        <v>1.0</v>
      </c>
      <c r="X12" s="7">
        <v>5.0</v>
      </c>
      <c r="Y12" s="7">
        <v>1.0</v>
      </c>
      <c r="Z12" s="7">
        <v>5.0</v>
      </c>
      <c r="AA12" s="7">
        <v>1.0</v>
      </c>
      <c r="AB12" s="7">
        <v>5.0</v>
      </c>
      <c r="AC12" s="7">
        <v>1.0</v>
      </c>
      <c r="AD12" s="7">
        <v>5.0</v>
      </c>
      <c r="AE12" s="7">
        <v>1.0</v>
      </c>
      <c r="AF12" s="7" t="s">
        <v>38</v>
      </c>
      <c r="AG12" s="7" t="s">
        <v>39</v>
      </c>
      <c r="AH12" s="7" t="s">
        <v>45</v>
      </c>
      <c r="AI12" s="7" t="s">
        <v>40</v>
      </c>
      <c r="AJ12" s="7" t="s">
        <v>41</v>
      </c>
      <c r="AK12" s="7" t="s">
        <v>40</v>
      </c>
      <c r="AL12" s="9" t="s">
        <v>54</v>
      </c>
    </row>
    <row r="13" ht="22.5" customHeight="1">
      <c r="A13" s="6">
        <v>46185.60935436343</v>
      </c>
      <c r="B13" s="7">
        <v>5.0</v>
      </c>
      <c r="C13" s="7">
        <v>5.0</v>
      </c>
      <c r="D13" s="7">
        <v>5.0</v>
      </c>
      <c r="E13" s="7">
        <v>5.0</v>
      </c>
      <c r="F13" s="7">
        <v>5.0</v>
      </c>
      <c r="G13" s="7">
        <v>5.0</v>
      </c>
      <c r="H13" s="7">
        <v>5.0</v>
      </c>
      <c r="I13" s="7">
        <v>5.0</v>
      </c>
      <c r="J13" s="7">
        <v>5.0</v>
      </c>
      <c r="K13" s="7">
        <v>5.0</v>
      </c>
      <c r="L13" s="7">
        <v>5.0</v>
      </c>
      <c r="M13" s="7">
        <v>5.0</v>
      </c>
      <c r="N13" s="7">
        <v>5.0</v>
      </c>
      <c r="O13" s="7">
        <v>5.0</v>
      </c>
      <c r="P13" s="7">
        <v>5.0</v>
      </c>
      <c r="Q13" s="7">
        <v>5.0</v>
      </c>
      <c r="R13" s="7">
        <v>5.0</v>
      </c>
      <c r="S13" s="7">
        <v>5.0</v>
      </c>
      <c r="T13" s="7">
        <v>5.0</v>
      </c>
      <c r="U13" s="7">
        <v>5.0</v>
      </c>
      <c r="V13" s="7">
        <v>5.0</v>
      </c>
      <c r="W13" s="7">
        <v>1.0</v>
      </c>
      <c r="X13" s="7">
        <v>5.0</v>
      </c>
      <c r="Y13" s="7">
        <v>1.0</v>
      </c>
      <c r="Z13" s="7">
        <v>5.0</v>
      </c>
      <c r="AA13" s="7">
        <v>1.0</v>
      </c>
      <c r="AB13" s="7">
        <v>5.0</v>
      </c>
      <c r="AC13" s="7">
        <v>1.0</v>
      </c>
      <c r="AD13" s="7">
        <v>5.0</v>
      </c>
      <c r="AE13" s="7">
        <v>1.0</v>
      </c>
      <c r="AF13" s="7" t="s">
        <v>38</v>
      </c>
      <c r="AG13" s="7" t="s">
        <v>39</v>
      </c>
      <c r="AH13" s="7" t="s">
        <v>40</v>
      </c>
      <c r="AI13" s="7" t="s">
        <v>40</v>
      </c>
      <c r="AJ13" s="7" t="s">
        <v>41</v>
      </c>
      <c r="AK13" s="7" t="s">
        <v>40</v>
      </c>
      <c r="AL13" s="9" t="s">
        <v>55</v>
      </c>
    </row>
    <row r="14" ht="22.5" customHeight="1">
      <c r="A14" s="6">
        <v>46186.06369702546</v>
      </c>
      <c r="B14" s="7">
        <v>4.0</v>
      </c>
      <c r="C14" s="7">
        <v>3.0</v>
      </c>
      <c r="D14" s="7">
        <v>4.0</v>
      </c>
      <c r="E14" s="7">
        <v>3.0</v>
      </c>
      <c r="F14" s="7">
        <v>5.0</v>
      </c>
      <c r="G14" s="7">
        <v>4.0</v>
      </c>
      <c r="H14" s="7">
        <v>4.0</v>
      </c>
      <c r="I14" s="7">
        <v>5.0</v>
      </c>
      <c r="J14" s="7">
        <v>4.0</v>
      </c>
      <c r="K14" s="7">
        <v>5.0</v>
      </c>
      <c r="L14" s="7">
        <v>5.0</v>
      </c>
      <c r="M14" s="7">
        <v>4.0</v>
      </c>
      <c r="N14" s="7">
        <v>4.0</v>
      </c>
      <c r="O14" s="7">
        <v>5.0</v>
      </c>
      <c r="P14" s="7">
        <v>4.0</v>
      </c>
      <c r="Q14" s="7">
        <v>4.0</v>
      </c>
      <c r="R14" s="7">
        <v>5.0</v>
      </c>
      <c r="S14" s="7">
        <v>4.0</v>
      </c>
      <c r="T14" s="7">
        <v>4.0</v>
      </c>
      <c r="U14" s="7">
        <v>5.0</v>
      </c>
      <c r="V14" s="7">
        <v>4.0</v>
      </c>
      <c r="W14" s="7">
        <v>2.0</v>
      </c>
      <c r="X14" s="7">
        <v>4.0</v>
      </c>
      <c r="Y14" s="7">
        <v>3.0</v>
      </c>
      <c r="Z14" s="7">
        <v>4.0</v>
      </c>
      <c r="AA14" s="7">
        <v>2.0</v>
      </c>
      <c r="AB14" s="7">
        <v>4.0</v>
      </c>
      <c r="AC14" s="7">
        <v>1.0</v>
      </c>
      <c r="AD14" s="7">
        <v>4.0</v>
      </c>
      <c r="AE14" s="7">
        <v>2.0</v>
      </c>
      <c r="AF14" s="7" t="s">
        <v>38</v>
      </c>
      <c r="AG14" s="7" t="s">
        <v>44</v>
      </c>
      <c r="AH14" s="7" t="s">
        <v>40</v>
      </c>
      <c r="AI14" s="7" t="s">
        <v>40</v>
      </c>
      <c r="AJ14" s="7" t="s">
        <v>41</v>
      </c>
      <c r="AK14" s="7" t="s">
        <v>40</v>
      </c>
      <c r="AL14" s="8"/>
    </row>
    <row r="15" ht="22.5" customHeight="1">
      <c r="A15" s="6">
        <v>46186.073490497685</v>
      </c>
      <c r="B15" s="7">
        <v>5.0</v>
      </c>
      <c r="C15" s="7">
        <v>5.0</v>
      </c>
      <c r="D15" s="7">
        <v>5.0</v>
      </c>
      <c r="E15" s="7">
        <v>4.0</v>
      </c>
      <c r="F15" s="7">
        <v>4.0</v>
      </c>
      <c r="G15" s="7">
        <v>5.0</v>
      </c>
      <c r="H15" s="7">
        <v>5.0</v>
      </c>
      <c r="I15" s="7">
        <v>5.0</v>
      </c>
      <c r="J15" s="7">
        <v>4.0</v>
      </c>
      <c r="K15" s="7">
        <v>5.0</v>
      </c>
      <c r="L15" s="7">
        <v>5.0</v>
      </c>
      <c r="M15" s="7">
        <v>4.0</v>
      </c>
      <c r="N15" s="7">
        <v>4.0</v>
      </c>
      <c r="O15" s="7">
        <v>5.0</v>
      </c>
      <c r="P15" s="7">
        <v>4.0</v>
      </c>
      <c r="Q15" s="7">
        <v>5.0</v>
      </c>
      <c r="R15" s="7">
        <v>5.0</v>
      </c>
      <c r="S15" s="7">
        <v>5.0</v>
      </c>
      <c r="T15" s="7">
        <v>5.0</v>
      </c>
      <c r="U15" s="7">
        <v>5.0</v>
      </c>
      <c r="V15" s="7">
        <v>5.0</v>
      </c>
      <c r="W15" s="7">
        <v>1.0</v>
      </c>
      <c r="X15" s="7">
        <v>5.0</v>
      </c>
      <c r="Y15" s="7">
        <v>1.0</v>
      </c>
      <c r="Z15" s="7">
        <v>5.0</v>
      </c>
      <c r="AA15" s="7">
        <v>1.0</v>
      </c>
      <c r="AB15" s="7">
        <v>5.0</v>
      </c>
      <c r="AC15" s="7">
        <v>1.0</v>
      </c>
      <c r="AD15" s="7">
        <v>5.0</v>
      </c>
      <c r="AE15" s="7">
        <v>1.0</v>
      </c>
      <c r="AF15" s="7" t="s">
        <v>38</v>
      </c>
      <c r="AG15" s="7" t="s">
        <v>39</v>
      </c>
      <c r="AH15" s="7" t="s">
        <v>45</v>
      </c>
      <c r="AI15" s="7" t="s">
        <v>40</v>
      </c>
      <c r="AJ15" s="7" t="s">
        <v>41</v>
      </c>
      <c r="AK15" s="7" t="s">
        <v>40</v>
      </c>
      <c r="AL15" s="9" t="s">
        <v>56</v>
      </c>
    </row>
    <row r="16" ht="22.5" customHeight="1">
      <c r="A16" s="6">
        <v>46186.643660925925</v>
      </c>
      <c r="B16" s="7">
        <v>2.0</v>
      </c>
      <c r="C16" s="7">
        <v>1.0</v>
      </c>
      <c r="D16" s="7">
        <v>2.0</v>
      </c>
      <c r="E16" s="7">
        <v>1.0</v>
      </c>
      <c r="F16" s="7">
        <v>1.0</v>
      </c>
      <c r="G16" s="7">
        <v>1.0</v>
      </c>
      <c r="H16" s="7">
        <v>1.0</v>
      </c>
      <c r="I16" s="7">
        <v>1.0</v>
      </c>
      <c r="J16" s="7">
        <v>3.0</v>
      </c>
      <c r="K16" s="7">
        <v>1.0</v>
      </c>
      <c r="L16" s="7">
        <v>4.0</v>
      </c>
      <c r="M16" s="7">
        <v>5.0</v>
      </c>
      <c r="N16" s="7">
        <v>4.0</v>
      </c>
      <c r="O16" s="7">
        <v>4.0</v>
      </c>
      <c r="P16" s="7">
        <v>5.0</v>
      </c>
      <c r="Q16" s="7">
        <v>5.0</v>
      </c>
      <c r="R16" s="7">
        <v>5.0</v>
      </c>
      <c r="S16" s="7">
        <v>5.0</v>
      </c>
      <c r="T16" s="7">
        <v>5.0</v>
      </c>
      <c r="U16" s="7">
        <v>4.0</v>
      </c>
      <c r="V16" s="7">
        <v>4.0</v>
      </c>
      <c r="W16" s="7">
        <v>1.0</v>
      </c>
      <c r="X16" s="7">
        <v>5.0</v>
      </c>
      <c r="Y16" s="7">
        <v>1.0</v>
      </c>
      <c r="Z16" s="7">
        <v>5.0</v>
      </c>
      <c r="AA16" s="7">
        <v>1.0</v>
      </c>
      <c r="AB16" s="7">
        <v>4.0</v>
      </c>
      <c r="AC16" s="7">
        <v>1.0</v>
      </c>
      <c r="AD16" s="7">
        <v>4.0</v>
      </c>
      <c r="AE16" s="7">
        <v>1.0</v>
      </c>
      <c r="AF16" s="7" t="s">
        <v>57</v>
      </c>
      <c r="AG16" s="7" t="s">
        <v>39</v>
      </c>
      <c r="AH16" s="7" t="s">
        <v>45</v>
      </c>
      <c r="AI16" s="7" t="s">
        <v>40</v>
      </c>
      <c r="AJ16" s="7" t="s">
        <v>41</v>
      </c>
      <c r="AK16" s="7" t="s">
        <v>40</v>
      </c>
    </row>
    <row r="17" ht="22.5" customHeight="1">
      <c r="A17" s="6">
        <v>46186.73985520833</v>
      </c>
      <c r="B17" s="7">
        <v>2.0</v>
      </c>
      <c r="C17" s="7">
        <v>1.0</v>
      </c>
      <c r="D17" s="7">
        <v>2.0</v>
      </c>
      <c r="E17" s="7">
        <v>2.0</v>
      </c>
      <c r="F17" s="7">
        <v>1.0</v>
      </c>
      <c r="G17" s="7">
        <v>2.0</v>
      </c>
      <c r="H17" s="7">
        <v>2.0</v>
      </c>
      <c r="I17" s="7">
        <v>2.0</v>
      </c>
      <c r="J17" s="7">
        <v>3.0</v>
      </c>
      <c r="K17" s="7">
        <v>2.0</v>
      </c>
      <c r="L17" s="7">
        <v>5.0</v>
      </c>
      <c r="M17" s="7">
        <v>4.0</v>
      </c>
      <c r="N17" s="7">
        <v>4.0</v>
      </c>
      <c r="O17" s="7">
        <v>5.0</v>
      </c>
      <c r="P17" s="7">
        <v>4.0</v>
      </c>
      <c r="Q17" s="7">
        <v>5.0</v>
      </c>
      <c r="R17" s="7">
        <v>4.0</v>
      </c>
      <c r="S17" s="7">
        <v>4.0</v>
      </c>
      <c r="T17" s="7">
        <v>4.0</v>
      </c>
      <c r="U17" s="7">
        <v>5.0</v>
      </c>
      <c r="V17" s="7">
        <v>4.0</v>
      </c>
      <c r="W17" s="7">
        <v>5.0</v>
      </c>
      <c r="X17" s="7">
        <v>4.0</v>
      </c>
      <c r="Y17" s="7">
        <v>5.0</v>
      </c>
      <c r="Z17" s="7">
        <v>4.0</v>
      </c>
      <c r="AA17" s="7">
        <v>5.0</v>
      </c>
      <c r="AB17" s="7">
        <v>4.0</v>
      </c>
      <c r="AC17" s="7">
        <v>5.0</v>
      </c>
      <c r="AD17" s="7">
        <v>4.0</v>
      </c>
      <c r="AE17" s="7">
        <v>4.0</v>
      </c>
      <c r="AF17" s="7" t="s">
        <v>38</v>
      </c>
      <c r="AG17" s="7" t="s">
        <v>39</v>
      </c>
      <c r="AH17" s="7" t="s">
        <v>45</v>
      </c>
      <c r="AI17" s="7" t="s">
        <v>40</v>
      </c>
      <c r="AJ17" s="7" t="s">
        <v>41</v>
      </c>
      <c r="AK17" s="7" t="s">
        <v>40</v>
      </c>
    </row>
    <row r="18" ht="22.5" customHeight="1">
      <c r="A18" s="6">
        <v>46186.778993506945</v>
      </c>
      <c r="B18" s="7">
        <v>4.0</v>
      </c>
      <c r="C18" s="7">
        <v>3.0</v>
      </c>
      <c r="D18" s="7">
        <v>1.0</v>
      </c>
      <c r="E18" s="7">
        <v>2.0</v>
      </c>
      <c r="F18" s="7">
        <v>1.0</v>
      </c>
      <c r="G18" s="7">
        <v>1.0</v>
      </c>
      <c r="H18" s="7">
        <v>2.0</v>
      </c>
      <c r="I18" s="7">
        <v>2.0</v>
      </c>
      <c r="J18" s="7">
        <v>5.0</v>
      </c>
      <c r="K18" s="7">
        <v>4.0</v>
      </c>
      <c r="L18" s="7">
        <v>3.0</v>
      </c>
      <c r="M18" s="7">
        <v>3.0</v>
      </c>
      <c r="N18" s="7">
        <v>3.0</v>
      </c>
      <c r="O18" s="7">
        <v>3.0</v>
      </c>
      <c r="P18" s="7">
        <v>3.0</v>
      </c>
      <c r="Q18" s="7">
        <v>3.0</v>
      </c>
      <c r="R18" s="7">
        <v>3.0</v>
      </c>
      <c r="S18" s="7">
        <v>3.0</v>
      </c>
      <c r="T18" s="7">
        <v>3.0</v>
      </c>
      <c r="U18" s="7">
        <v>3.0</v>
      </c>
      <c r="V18" s="7">
        <v>3.0</v>
      </c>
      <c r="W18" s="7">
        <v>1.0</v>
      </c>
      <c r="X18" s="7">
        <v>5.0</v>
      </c>
      <c r="Y18" s="7">
        <v>2.0</v>
      </c>
      <c r="Z18" s="7">
        <v>5.0</v>
      </c>
      <c r="AA18" s="7">
        <v>2.0</v>
      </c>
      <c r="AB18" s="7">
        <v>5.0</v>
      </c>
      <c r="AC18" s="7">
        <v>1.0</v>
      </c>
      <c r="AD18" s="7">
        <v>5.0</v>
      </c>
      <c r="AE18" s="7">
        <v>1.0</v>
      </c>
      <c r="AF18" s="7" t="s">
        <v>57</v>
      </c>
      <c r="AG18" s="7" t="s">
        <v>44</v>
      </c>
      <c r="AH18" s="7" t="s">
        <v>40</v>
      </c>
      <c r="AI18" s="7" t="s">
        <v>46</v>
      </c>
      <c r="AJ18" s="7" t="s">
        <v>58</v>
      </c>
      <c r="AK18" s="7" t="s">
        <v>46</v>
      </c>
    </row>
    <row r="19">
      <c r="AL19" s="10"/>
    </row>
    <row r="20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63</v>
      </c>
      <c r="F20" s="11" t="s">
        <v>64</v>
      </c>
      <c r="G20" s="11" t="s">
        <v>65</v>
      </c>
      <c r="H20" s="11" t="s">
        <v>66</v>
      </c>
      <c r="I20" s="11" t="s">
        <v>67</v>
      </c>
      <c r="J20" s="11" t="s">
        <v>68</v>
      </c>
      <c r="K20" s="11" t="s">
        <v>69</v>
      </c>
      <c r="AL20" s="10"/>
    </row>
    <row r="21">
      <c r="A21" s="11" t="s">
        <v>70</v>
      </c>
      <c r="AL21" s="10"/>
    </row>
    <row r="22">
      <c r="AL22" s="10"/>
    </row>
    <row r="23">
      <c r="A23" s="11" t="s">
        <v>59</v>
      </c>
      <c r="B23" s="11" t="s">
        <v>71</v>
      </c>
      <c r="C23" s="11" t="s">
        <v>72</v>
      </c>
      <c r="D23" s="11" t="s">
        <v>73</v>
      </c>
      <c r="E23" s="11" t="s">
        <v>74</v>
      </c>
      <c r="F23" s="11" t="s">
        <v>75</v>
      </c>
      <c r="G23" s="11" t="s">
        <v>76</v>
      </c>
      <c r="H23" s="11" t="s">
        <v>77</v>
      </c>
      <c r="I23" s="11" t="s">
        <v>78</v>
      </c>
      <c r="J23" s="11" t="s">
        <v>79</v>
      </c>
      <c r="K23" s="11" t="s">
        <v>80</v>
      </c>
      <c r="AL23" s="10"/>
    </row>
    <row r="24">
      <c r="A24" s="11" t="s">
        <v>70</v>
      </c>
      <c r="AL24" s="10"/>
    </row>
    <row r="25">
      <c r="AL25" s="10"/>
    </row>
    <row r="26">
      <c r="AL26" s="10"/>
    </row>
    <row r="27">
      <c r="AL27" s="10"/>
    </row>
    <row r="28">
      <c r="AL28" s="10"/>
    </row>
    <row r="29">
      <c r="AL29" s="10"/>
    </row>
    <row r="30">
      <c r="AL30" s="10"/>
    </row>
    <row r="31">
      <c r="AL31" s="10"/>
    </row>
    <row r="32">
      <c r="AL32" s="10"/>
    </row>
    <row r="33">
      <c r="AL33" s="10"/>
    </row>
    <row r="34">
      <c r="AL34" s="10"/>
    </row>
    <row r="35">
      <c r="AL35" s="10"/>
    </row>
    <row r="36">
      <c r="AL36" s="10"/>
    </row>
    <row r="37">
      <c r="AL37" s="10"/>
    </row>
    <row r="38">
      <c r="AL38" s="10"/>
    </row>
    <row r="39">
      <c r="AL39" s="10"/>
    </row>
    <row r="40">
      <c r="AL40" s="10"/>
    </row>
    <row r="41">
      <c r="AL41" s="10"/>
    </row>
    <row r="42">
      <c r="AL42" s="10"/>
    </row>
    <row r="43">
      <c r="AL43" s="10"/>
    </row>
    <row r="44">
      <c r="AL44" s="10"/>
    </row>
    <row r="45">
      <c r="AL45" s="10"/>
    </row>
    <row r="46">
      <c r="AL46" s="10"/>
    </row>
    <row r="47">
      <c r="AL47" s="10"/>
    </row>
    <row r="48">
      <c r="AL48" s="10"/>
    </row>
    <row r="49">
      <c r="AL49" s="10"/>
    </row>
    <row r="50">
      <c r="AL50" s="10"/>
    </row>
    <row r="51">
      <c r="AL51" s="10"/>
    </row>
    <row r="52">
      <c r="AL52" s="10"/>
    </row>
    <row r="53">
      <c r="AL53" s="10"/>
    </row>
    <row r="54">
      <c r="AL54" s="10"/>
    </row>
    <row r="55">
      <c r="AL55" s="10"/>
    </row>
    <row r="56">
      <c r="AL56" s="10"/>
    </row>
    <row r="57">
      <c r="AL57" s="10"/>
    </row>
    <row r="58">
      <c r="AL58" s="10"/>
    </row>
    <row r="59">
      <c r="AL59" s="10"/>
    </row>
    <row r="60">
      <c r="AL60" s="10"/>
    </row>
    <row r="61">
      <c r="AL61" s="10"/>
    </row>
    <row r="62">
      <c r="AL62" s="10"/>
    </row>
    <row r="63">
      <c r="AL63" s="10"/>
    </row>
    <row r="64">
      <c r="AL64" s="10"/>
    </row>
    <row r="65">
      <c r="AL65" s="10"/>
    </row>
    <row r="66">
      <c r="AL66" s="10"/>
    </row>
    <row r="67">
      <c r="AL67" s="10"/>
    </row>
    <row r="68">
      <c r="AL68" s="10"/>
    </row>
    <row r="69">
      <c r="AL69" s="10"/>
    </row>
    <row r="70">
      <c r="AL70" s="10"/>
    </row>
    <row r="71">
      <c r="AL71" s="10"/>
    </row>
    <row r="72">
      <c r="AL72" s="10"/>
    </row>
    <row r="73">
      <c r="AL73" s="10"/>
    </row>
    <row r="74">
      <c r="AL74" s="10"/>
    </row>
    <row r="75">
      <c r="AL75" s="10"/>
    </row>
    <row r="76">
      <c r="AL76" s="10"/>
    </row>
    <row r="77">
      <c r="AL77" s="10"/>
    </row>
    <row r="78">
      <c r="AL78" s="10"/>
    </row>
    <row r="79">
      <c r="AL79" s="10"/>
    </row>
    <row r="80">
      <c r="AL80" s="10"/>
    </row>
    <row r="81">
      <c r="AL81" s="10"/>
    </row>
    <row r="82">
      <c r="AL82" s="10"/>
    </row>
    <row r="83">
      <c r="AL83" s="10"/>
    </row>
    <row r="84">
      <c r="AL84" s="10"/>
    </row>
    <row r="85">
      <c r="AL85" s="10"/>
    </row>
    <row r="86">
      <c r="AL86" s="10"/>
    </row>
    <row r="87">
      <c r="AL87" s="10"/>
    </row>
    <row r="88">
      <c r="AL88" s="10"/>
    </row>
    <row r="89">
      <c r="AL89" s="10"/>
    </row>
    <row r="90">
      <c r="AL90" s="10"/>
    </row>
    <row r="91">
      <c r="AL91" s="10"/>
    </row>
    <row r="92">
      <c r="AL92" s="10"/>
    </row>
    <row r="93">
      <c r="AL93" s="10"/>
    </row>
    <row r="94">
      <c r="AL94" s="10"/>
    </row>
    <row r="95">
      <c r="AL95" s="10"/>
    </row>
    <row r="96">
      <c r="AL96" s="10"/>
    </row>
    <row r="97">
      <c r="AL97" s="10"/>
    </row>
    <row r="98">
      <c r="AL98" s="10"/>
    </row>
    <row r="99">
      <c r="AL99" s="10"/>
    </row>
    <row r="100">
      <c r="AL100" s="10"/>
    </row>
    <row r="101">
      <c r="AL101" s="10"/>
    </row>
    <row r="102">
      <c r="AL102" s="10"/>
    </row>
    <row r="103">
      <c r="AL103" s="10"/>
    </row>
    <row r="104">
      <c r="AL104" s="10"/>
    </row>
    <row r="105">
      <c r="AL105" s="10"/>
    </row>
    <row r="106">
      <c r="AL106" s="10"/>
    </row>
    <row r="107">
      <c r="AL107" s="10"/>
    </row>
    <row r="108">
      <c r="AL108" s="10"/>
    </row>
    <row r="109">
      <c r="AL109" s="10"/>
    </row>
    <row r="110">
      <c r="AL110" s="10"/>
    </row>
    <row r="111">
      <c r="AL111" s="10"/>
    </row>
    <row r="112">
      <c r="AL112" s="10"/>
    </row>
    <row r="113">
      <c r="AL113" s="10"/>
    </row>
    <row r="114">
      <c r="AL114" s="10"/>
    </row>
    <row r="115">
      <c r="AL115" s="10"/>
    </row>
    <row r="116">
      <c r="AL116" s="10"/>
    </row>
    <row r="117">
      <c r="AL117" s="10"/>
    </row>
    <row r="118">
      <c r="AL118" s="10"/>
    </row>
    <row r="119">
      <c r="AL119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75"/>
    <col customWidth="1" min="4" max="13" width="6.38"/>
  </cols>
  <sheetData>
    <row r="7">
      <c r="C7" s="12" t="s">
        <v>59</v>
      </c>
      <c r="D7" s="13">
        <v>1.0</v>
      </c>
      <c r="E7" s="13">
        <v>2.0</v>
      </c>
      <c r="F7" s="13">
        <v>3.0</v>
      </c>
      <c r="G7" s="13">
        <v>4.0</v>
      </c>
      <c r="H7" s="13">
        <v>5.0</v>
      </c>
      <c r="I7" s="13">
        <v>6.0</v>
      </c>
      <c r="J7" s="13">
        <v>7.0</v>
      </c>
      <c r="K7" s="13">
        <v>8.0</v>
      </c>
      <c r="L7" s="13">
        <v>9.0</v>
      </c>
      <c r="M7" s="13">
        <v>10.0</v>
      </c>
    </row>
    <row r="8">
      <c r="C8" s="12" t="s">
        <v>81</v>
      </c>
      <c r="D8" s="14">
        <f>ROUND(AVERAGE('Form responses 1'!B2:B18),2)</f>
        <v>3.65</v>
      </c>
      <c r="E8" s="14">
        <f>ROUND(AVERAGE('Form responses 1'!C2:C18),2)</f>
        <v>2.53</v>
      </c>
      <c r="F8" s="14">
        <f>ROUND(AVERAGE('Form responses 1'!D2:D18),2)</f>
        <v>2.59</v>
      </c>
      <c r="G8" s="14">
        <f>ROUND(AVERAGE('Form responses 1'!E2:E18),2)</f>
        <v>2.41</v>
      </c>
      <c r="H8" s="14">
        <f>ROUND(AVERAGE('Form responses 1'!F2:F18),2)</f>
        <v>2.82</v>
      </c>
      <c r="I8" s="14">
        <f>ROUND(AVERAGE('Form responses 1'!G2:G18),2)</f>
        <v>2.65</v>
      </c>
      <c r="J8" s="14">
        <f>ROUND(AVERAGE('Form responses 1'!H2:H18),2)</f>
        <v>2.41</v>
      </c>
      <c r="K8" s="14">
        <f>ROUND(AVERAGE('Form responses 1'!I2:I18),2)</f>
        <v>2.53</v>
      </c>
      <c r="L8" s="14">
        <f>ROUND(AVERAGE('Form responses 1'!J2:J18),2)</f>
        <v>3.76</v>
      </c>
      <c r="M8" s="14">
        <f>ROUND(AVERAGE('Form responses 1'!K2:K18),2)</f>
        <v>3.12</v>
      </c>
    </row>
    <row r="9">
      <c r="C9" s="12" t="s">
        <v>82</v>
      </c>
      <c r="D9" s="14">
        <f>ROUND(AVERAGE('Form responses 1'!L2:L18),2)</f>
        <v>4.53</v>
      </c>
      <c r="E9" s="14">
        <f>ROUND(AVERAGE('Form responses 1'!M2:M18),2)</f>
        <v>4.47</v>
      </c>
      <c r="F9" s="14">
        <f>ROUND(AVERAGE('Form responses 1'!N2:N18),2)</f>
        <v>4.29</v>
      </c>
      <c r="G9" s="14">
        <f>ROUND(AVERAGE('Form responses 1'!O2:O18),2)</f>
        <v>4.53</v>
      </c>
      <c r="H9" s="14">
        <f>ROUND(AVERAGE('Form responses 1'!P2:P18),2)</f>
        <v>4.59</v>
      </c>
      <c r="I9" s="14">
        <f>ROUND(AVERAGE('Form responses 1'!Q2:Q18),2)</f>
        <v>4.59</v>
      </c>
      <c r="J9" s="14">
        <f>ROUND(AVERAGE('Form responses 1'!R2:R18),2)</f>
        <v>4.71</v>
      </c>
      <c r="K9" s="14">
        <f>ROUND(AVERAGE('Form responses 1'!S2:S18),2)</f>
        <v>4.65</v>
      </c>
      <c r="L9" s="14">
        <f>ROUND(AVERAGE('Form responses 1'!T2:T18),2)</f>
        <v>4.41</v>
      </c>
      <c r="M9" s="14">
        <f>ROUND(AVERAGE('Form responses 1'!U2:U18),2)</f>
        <v>4.53</v>
      </c>
    </row>
    <row r="10">
      <c r="C10" s="12" t="s">
        <v>83</v>
      </c>
      <c r="D10" s="14">
        <f t="shared" ref="D10:M10" si="1">D9-D8</f>
        <v>0.88</v>
      </c>
      <c r="E10" s="14">
        <f t="shared" si="1"/>
        <v>1.94</v>
      </c>
      <c r="F10" s="14">
        <f t="shared" si="1"/>
        <v>1.7</v>
      </c>
      <c r="G10" s="14">
        <f t="shared" si="1"/>
        <v>2.12</v>
      </c>
      <c r="H10" s="14">
        <f t="shared" si="1"/>
        <v>1.77</v>
      </c>
      <c r="I10" s="14">
        <f t="shared" si="1"/>
        <v>1.94</v>
      </c>
      <c r="J10" s="14">
        <f t="shared" si="1"/>
        <v>2.3</v>
      </c>
      <c r="K10" s="14">
        <f t="shared" si="1"/>
        <v>2.12</v>
      </c>
      <c r="L10" s="14">
        <f t="shared" si="1"/>
        <v>0.65</v>
      </c>
      <c r="M10" s="14">
        <f t="shared" si="1"/>
        <v>1.41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5.0"/>
    <col customWidth="1" min="3" max="6" width="8.25"/>
    <col customWidth="1" min="7" max="7" width="19.75"/>
    <col customWidth="1" min="8" max="8" width="13.5"/>
    <col customWidth="1" min="9" max="11" width="8.25"/>
  </cols>
  <sheetData>
    <row r="1">
      <c r="A1" s="15"/>
      <c r="B1" s="15" t="s">
        <v>84</v>
      </c>
      <c r="C1" s="15" t="s">
        <v>85</v>
      </c>
      <c r="D1" s="15" t="s">
        <v>86</v>
      </c>
      <c r="E1" s="15" t="s">
        <v>87</v>
      </c>
      <c r="F1" s="15" t="s">
        <v>88</v>
      </c>
      <c r="G1" s="15" t="s">
        <v>89</v>
      </c>
      <c r="H1" s="15" t="s">
        <v>90</v>
      </c>
      <c r="I1" s="15" t="s">
        <v>91</v>
      </c>
      <c r="J1" s="15" t="s">
        <v>92</v>
      </c>
      <c r="K1" s="15" t="s">
        <v>93</v>
      </c>
    </row>
    <row r="2">
      <c r="A2" s="15" t="s">
        <v>94</v>
      </c>
      <c r="B2" s="15">
        <v>5.0</v>
      </c>
      <c r="C2" s="15">
        <v>2.0</v>
      </c>
      <c r="D2" s="15">
        <v>5.0</v>
      </c>
      <c r="E2" s="15">
        <v>1.0</v>
      </c>
      <c r="F2" s="15">
        <v>4.0</v>
      </c>
      <c r="G2" s="15">
        <v>1.0</v>
      </c>
      <c r="H2" s="15">
        <v>5.0</v>
      </c>
      <c r="I2" s="15">
        <v>1.0</v>
      </c>
      <c r="J2" s="15">
        <v>5.0</v>
      </c>
      <c r="K2" s="15">
        <v>1.0</v>
      </c>
      <c r="L2" s="16">
        <f t="shared" ref="L2:L18" si="1">((B2-1)+(5-C2)+(D2-1)+(5-E2)+(F2-1)+(5-G2)+(H2-1)+(5-I2)+(J2-1)+(5-K2))*2.5</f>
        <v>95</v>
      </c>
    </row>
    <row r="3">
      <c r="A3" s="15" t="s">
        <v>95</v>
      </c>
      <c r="B3" s="15">
        <v>4.0</v>
      </c>
      <c r="C3" s="15">
        <v>2.0</v>
      </c>
      <c r="D3" s="15">
        <v>5.0</v>
      </c>
      <c r="E3" s="15">
        <v>1.0</v>
      </c>
      <c r="F3" s="15">
        <v>4.0</v>
      </c>
      <c r="G3" s="15">
        <v>1.0</v>
      </c>
      <c r="H3" s="15">
        <v>5.0</v>
      </c>
      <c r="I3" s="15">
        <v>2.0</v>
      </c>
      <c r="J3" s="15">
        <v>5.0</v>
      </c>
      <c r="K3" s="15">
        <v>1.0</v>
      </c>
      <c r="L3" s="16">
        <f t="shared" si="1"/>
        <v>90</v>
      </c>
    </row>
    <row r="4">
      <c r="A4" s="15" t="s">
        <v>96</v>
      </c>
      <c r="B4" s="15">
        <v>4.0</v>
      </c>
      <c r="C4" s="15">
        <v>1.0</v>
      </c>
      <c r="D4" s="15">
        <v>5.0</v>
      </c>
      <c r="E4" s="15">
        <v>1.0</v>
      </c>
      <c r="F4" s="15">
        <v>5.0</v>
      </c>
      <c r="G4" s="15">
        <v>1.0</v>
      </c>
      <c r="H4" s="15">
        <v>4.0</v>
      </c>
      <c r="I4" s="15">
        <v>1.0</v>
      </c>
      <c r="J4" s="15">
        <v>5.0</v>
      </c>
      <c r="K4" s="15">
        <v>1.0</v>
      </c>
      <c r="L4" s="16">
        <f t="shared" si="1"/>
        <v>95</v>
      </c>
    </row>
    <row r="5">
      <c r="A5" s="15" t="s">
        <v>97</v>
      </c>
      <c r="B5" s="15">
        <v>5.0</v>
      </c>
      <c r="C5" s="15">
        <v>1.0</v>
      </c>
      <c r="D5" s="15">
        <v>5.0</v>
      </c>
      <c r="E5" s="15">
        <v>2.0</v>
      </c>
      <c r="F5" s="15">
        <v>5.0</v>
      </c>
      <c r="G5" s="15">
        <v>1.0</v>
      </c>
      <c r="H5" s="15">
        <v>4.0</v>
      </c>
      <c r="I5" s="15">
        <v>1.0</v>
      </c>
      <c r="J5" s="15">
        <v>5.0</v>
      </c>
      <c r="K5" s="15">
        <v>2.0</v>
      </c>
      <c r="L5" s="16">
        <f t="shared" si="1"/>
        <v>92.5</v>
      </c>
    </row>
    <row r="6">
      <c r="A6" s="15" t="s">
        <v>98</v>
      </c>
      <c r="B6" s="13">
        <v>5.0</v>
      </c>
      <c r="C6" s="13">
        <v>1.0</v>
      </c>
      <c r="D6" s="13">
        <v>5.0</v>
      </c>
      <c r="E6" s="13">
        <v>1.0</v>
      </c>
      <c r="F6" s="13">
        <v>5.0</v>
      </c>
      <c r="G6" s="13">
        <v>1.0</v>
      </c>
      <c r="H6" s="13">
        <v>5.0</v>
      </c>
      <c r="I6" s="13">
        <v>1.0</v>
      </c>
      <c r="J6" s="13">
        <v>5.0</v>
      </c>
      <c r="K6" s="13">
        <v>1.0</v>
      </c>
      <c r="L6" s="16">
        <f t="shared" si="1"/>
        <v>100</v>
      </c>
    </row>
    <row r="7">
      <c r="A7" s="15" t="s">
        <v>99</v>
      </c>
      <c r="B7" s="13">
        <v>5.0</v>
      </c>
      <c r="C7" s="13">
        <v>1.0</v>
      </c>
      <c r="D7" s="13">
        <v>5.0</v>
      </c>
      <c r="E7" s="13">
        <v>1.0</v>
      </c>
      <c r="F7" s="13">
        <v>5.0</v>
      </c>
      <c r="G7" s="13">
        <v>1.0</v>
      </c>
      <c r="H7" s="13">
        <v>5.0</v>
      </c>
      <c r="I7" s="13">
        <v>1.0</v>
      </c>
      <c r="J7" s="13">
        <v>5.0</v>
      </c>
      <c r="K7" s="13">
        <v>1.0</v>
      </c>
      <c r="L7" s="16">
        <f t="shared" si="1"/>
        <v>100</v>
      </c>
    </row>
    <row r="8">
      <c r="A8" s="15" t="s">
        <v>100</v>
      </c>
      <c r="B8" s="13">
        <v>4.0</v>
      </c>
      <c r="C8" s="13">
        <v>1.0</v>
      </c>
      <c r="D8" s="13">
        <v>5.0</v>
      </c>
      <c r="E8" s="13">
        <v>1.0</v>
      </c>
      <c r="F8" s="13">
        <v>4.0</v>
      </c>
      <c r="G8" s="13">
        <v>1.0</v>
      </c>
      <c r="H8" s="13">
        <v>4.0</v>
      </c>
      <c r="I8" s="13">
        <v>1.0</v>
      </c>
      <c r="J8" s="13">
        <v>4.0</v>
      </c>
      <c r="K8" s="13">
        <v>2.0</v>
      </c>
      <c r="L8" s="16">
        <f t="shared" si="1"/>
        <v>87.5</v>
      </c>
    </row>
    <row r="9">
      <c r="A9" s="15" t="s">
        <v>101</v>
      </c>
      <c r="B9" s="13">
        <v>4.0</v>
      </c>
      <c r="C9" s="13">
        <v>1.0</v>
      </c>
      <c r="D9" s="13">
        <v>5.0</v>
      </c>
      <c r="E9" s="13">
        <v>1.0</v>
      </c>
      <c r="F9" s="13">
        <v>5.0</v>
      </c>
      <c r="G9" s="13">
        <v>1.0</v>
      </c>
      <c r="H9" s="13">
        <v>5.0</v>
      </c>
      <c r="I9" s="13">
        <v>1.0</v>
      </c>
      <c r="J9" s="13">
        <v>5.0</v>
      </c>
      <c r="K9" s="13">
        <v>1.0</v>
      </c>
      <c r="L9" s="16">
        <f t="shared" si="1"/>
        <v>97.5</v>
      </c>
    </row>
    <row r="10">
      <c r="A10" s="15" t="s">
        <v>102</v>
      </c>
      <c r="B10" s="13">
        <v>4.0</v>
      </c>
      <c r="C10" s="13">
        <v>1.0</v>
      </c>
      <c r="D10" s="13">
        <v>5.0</v>
      </c>
      <c r="E10" s="13">
        <v>1.0</v>
      </c>
      <c r="F10" s="13">
        <v>5.0</v>
      </c>
      <c r="G10" s="13">
        <v>1.0</v>
      </c>
      <c r="H10" s="13">
        <v>4.0</v>
      </c>
      <c r="I10" s="13">
        <v>1.0</v>
      </c>
      <c r="J10" s="13">
        <v>5.0</v>
      </c>
      <c r="K10" s="13">
        <v>1.0</v>
      </c>
      <c r="L10" s="16">
        <f t="shared" si="1"/>
        <v>95</v>
      </c>
    </row>
    <row r="11">
      <c r="A11" s="15" t="s">
        <v>103</v>
      </c>
      <c r="B11" s="13">
        <v>5.0</v>
      </c>
      <c r="C11" s="13">
        <v>1.0</v>
      </c>
      <c r="D11" s="13">
        <v>4.0</v>
      </c>
      <c r="E11" s="13">
        <v>1.0</v>
      </c>
      <c r="F11" s="13">
        <v>5.0</v>
      </c>
      <c r="G11" s="13">
        <v>1.0</v>
      </c>
      <c r="H11" s="13">
        <v>4.0</v>
      </c>
      <c r="I11" s="13">
        <v>1.0</v>
      </c>
      <c r="J11" s="13">
        <v>4.0</v>
      </c>
      <c r="K11" s="13">
        <v>1.0</v>
      </c>
      <c r="L11" s="16">
        <f t="shared" si="1"/>
        <v>92.5</v>
      </c>
    </row>
    <row r="12">
      <c r="A12" s="15" t="s">
        <v>104</v>
      </c>
      <c r="B12" s="13">
        <v>5.0</v>
      </c>
      <c r="C12" s="13">
        <v>1.0</v>
      </c>
      <c r="D12" s="13">
        <v>5.0</v>
      </c>
      <c r="E12" s="13">
        <v>1.0</v>
      </c>
      <c r="F12" s="13">
        <v>5.0</v>
      </c>
      <c r="G12" s="13">
        <v>1.0</v>
      </c>
      <c r="H12" s="13">
        <v>5.0</v>
      </c>
      <c r="I12" s="13">
        <v>1.0</v>
      </c>
      <c r="J12" s="13">
        <v>5.0</v>
      </c>
      <c r="K12" s="13">
        <v>1.0</v>
      </c>
      <c r="L12" s="16">
        <f t="shared" si="1"/>
        <v>100</v>
      </c>
    </row>
    <row r="13">
      <c r="A13" s="15" t="s">
        <v>105</v>
      </c>
      <c r="B13" s="13">
        <v>5.0</v>
      </c>
      <c r="C13" s="13">
        <v>1.0</v>
      </c>
      <c r="D13" s="13">
        <v>5.0</v>
      </c>
      <c r="E13" s="13">
        <v>1.0</v>
      </c>
      <c r="F13" s="13">
        <v>5.0</v>
      </c>
      <c r="G13" s="13">
        <v>1.0</v>
      </c>
      <c r="H13" s="13">
        <v>5.0</v>
      </c>
      <c r="I13" s="13">
        <v>1.0</v>
      </c>
      <c r="J13" s="13">
        <v>5.0</v>
      </c>
      <c r="K13" s="13">
        <v>1.0</v>
      </c>
      <c r="L13" s="16">
        <f t="shared" si="1"/>
        <v>100</v>
      </c>
    </row>
    <row r="14">
      <c r="A14" s="15" t="s">
        <v>106</v>
      </c>
      <c r="B14" s="13">
        <v>4.0</v>
      </c>
      <c r="C14" s="13">
        <v>2.0</v>
      </c>
      <c r="D14" s="13">
        <v>4.0</v>
      </c>
      <c r="E14" s="13">
        <v>3.0</v>
      </c>
      <c r="F14" s="13">
        <v>4.0</v>
      </c>
      <c r="G14" s="13">
        <v>2.0</v>
      </c>
      <c r="H14" s="13">
        <v>4.0</v>
      </c>
      <c r="I14" s="13">
        <v>1.0</v>
      </c>
      <c r="J14" s="13">
        <v>4.0</v>
      </c>
      <c r="K14" s="13">
        <v>2.0</v>
      </c>
      <c r="L14" s="16">
        <f t="shared" si="1"/>
        <v>75</v>
      </c>
    </row>
    <row r="15">
      <c r="A15" s="15" t="s">
        <v>107</v>
      </c>
      <c r="B15" s="13">
        <v>5.0</v>
      </c>
      <c r="C15" s="13">
        <v>1.0</v>
      </c>
      <c r="D15" s="13">
        <v>5.0</v>
      </c>
      <c r="E15" s="13">
        <v>1.0</v>
      </c>
      <c r="F15" s="13">
        <v>5.0</v>
      </c>
      <c r="G15" s="13">
        <v>1.0</v>
      </c>
      <c r="H15" s="13">
        <v>5.0</v>
      </c>
      <c r="I15" s="13">
        <v>1.0</v>
      </c>
      <c r="J15" s="13">
        <v>5.0</v>
      </c>
      <c r="K15" s="13">
        <v>1.0</v>
      </c>
      <c r="L15" s="16">
        <f t="shared" si="1"/>
        <v>100</v>
      </c>
    </row>
    <row r="16">
      <c r="A16" s="15" t="s">
        <v>108</v>
      </c>
      <c r="B16" s="13">
        <v>4.0</v>
      </c>
      <c r="C16" s="13">
        <v>1.0</v>
      </c>
      <c r="D16" s="13">
        <v>5.0</v>
      </c>
      <c r="E16" s="13">
        <v>1.0</v>
      </c>
      <c r="F16" s="13">
        <v>5.0</v>
      </c>
      <c r="G16" s="13">
        <v>1.0</v>
      </c>
      <c r="H16" s="13">
        <v>4.0</v>
      </c>
      <c r="I16" s="13">
        <v>1.0</v>
      </c>
      <c r="J16" s="13">
        <v>4.0</v>
      </c>
      <c r="K16" s="13">
        <v>1.0</v>
      </c>
      <c r="L16" s="16">
        <f t="shared" si="1"/>
        <v>92.5</v>
      </c>
    </row>
    <row r="17">
      <c r="A17" s="15" t="s">
        <v>109</v>
      </c>
      <c r="B17" s="13">
        <v>4.0</v>
      </c>
      <c r="C17" s="13">
        <v>5.0</v>
      </c>
      <c r="D17" s="13">
        <v>4.0</v>
      </c>
      <c r="E17" s="13">
        <v>5.0</v>
      </c>
      <c r="F17" s="13">
        <v>4.0</v>
      </c>
      <c r="G17" s="13">
        <v>5.0</v>
      </c>
      <c r="H17" s="13">
        <v>4.0</v>
      </c>
      <c r="I17" s="13">
        <v>5.0</v>
      </c>
      <c r="J17" s="13">
        <v>4.0</v>
      </c>
      <c r="K17" s="13">
        <v>4.0</v>
      </c>
      <c r="L17" s="16">
        <f t="shared" si="1"/>
        <v>40</v>
      </c>
    </row>
    <row r="18">
      <c r="A18" s="15" t="s">
        <v>110</v>
      </c>
      <c r="B18" s="13">
        <v>3.0</v>
      </c>
      <c r="C18" s="13">
        <v>1.0</v>
      </c>
      <c r="D18" s="13">
        <v>5.0</v>
      </c>
      <c r="E18" s="13">
        <v>2.0</v>
      </c>
      <c r="F18" s="13">
        <v>5.0</v>
      </c>
      <c r="G18" s="13">
        <v>2.0</v>
      </c>
      <c r="H18" s="13">
        <v>5.0</v>
      </c>
      <c r="I18" s="13">
        <v>1.0</v>
      </c>
      <c r="J18" s="13">
        <v>5.0</v>
      </c>
      <c r="K18" s="13">
        <v>1.0</v>
      </c>
      <c r="L18" s="16">
        <f t="shared" si="1"/>
        <v>90</v>
      </c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>
        <f>ROUND(AVERAGE(L2:L18),2)</f>
        <v>90.74</v>
      </c>
    </row>
    <row r="25">
      <c r="G25" s="12" t="s">
        <v>111</v>
      </c>
      <c r="H25" s="12" t="s">
        <v>112</v>
      </c>
    </row>
    <row r="26">
      <c r="G26" s="13" t="s">
        <v>113</v>
      </c>
      <c r="H26" s="13">
        <v>90.74</v>
      </c>
    </row>
    <row r="27">
      <c r="G27" s="13" t="s">
        <v>114</v>
      </c>
      <c r="H27" s="13">
        <v>40.0</v>
      </c>
    </row>
    <row r="28">
      <c r="G28" s="13" t="s">
        <v>115</v>
      </c>
      <c r="H28" s="13">
        <v>100.0</v>
      </c>
    </row>
  </sheetData>
  <drawing r:id="rId1"/>
  <tableParts count="1">
    <tablePart r:id="rId3"/>
  </tableParts>
</worksheet>
</file>